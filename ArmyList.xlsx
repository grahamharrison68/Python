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lincolncollege-my.sharepoint.com/personal/gharrison_lincolncollege_ac_uk/Documents/Python Projects/ArmyList/data/in/"/>
    </mc:Choice>
  </mc:AlternateContent>
  <xr:revisionPtr revIDLastSave="141" documentId="11_AD4DB114E441178AC67DF4A6FE54CEBE693EDF27" xr6:coauthVersionLast="47" xr6:coauthVersionMax="47" xr10:uidLastSave="{66F45FE9-0057-4CDF-8F7F-C26C9326A9BC}"/>
  <bookViews>
    <workbookView xWindow="-120" yWindow="-120" windowWidth="38640" windowHeight="21120" activeTab="2" xr2:uid="{00000000-000D-0000-FFFF-FFFF00000000}"/>
  </bookViews>
  <sheets>
    <sheet name="Army" sheetId="4" r:id="rId1"/>
    <sheet name="Unit" sheetId="3" r:id="rId2"/>
    <sheet name="ArmyList"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2" l="1"/>
  <c r="C3" i="2"/>
  <c r="A2" i="3"/>
  <c r="A44" i="3"/>
  <c r="A31" i="3"/>
  <c r="A30" i="3"/>
  <c r="A10" i="3"/>
  <c r="A8" i="3"/>
  <c r="A37" i="3"/>
  <c r="A32" i="3"/>
  <c r="A5" i="3"/>
  <c r="A49" i="3"/>
  <c r="A48" i="3"/>
  <c r="A42" i="3"/>
  <c r="A41" i="3"/>
  <c r="A40" i="3"/>
  <c r="A29" i="3"/>
  <c r="A19" i="3"/>
  <c r="A18" i="3"/>
  <c r="A17" i="3"/>
  <c r="A36" i="3"/>
  <c r="A28" i="3"/>
  <c r="A33" i="3"/>
  <c r="A27" i="3"/>
  <c r="A47" i="3"/>
  <c r="A46" i="3"/>
  <c r="A45" i="3"/>
  <c r="A39" i="3"/>
  <c r="A38" i="3"/>
  <c r="A35" i="3"/>
  <c r="A34" i="3"/>
  <c r="A25" i="3"/>
  <c r="A24" i="3"/>
  <c r="A23" i="3"/>
  <c r="A22" i="3"/>
  <c r="A21" i="3"/>
  <c r="A16" i="3"/>
  <c r="A15" i="3"/>
  <c r="A14" i="3"/>
  <c r="A13" i="3"/>
  <c r="A12" i="3"/>
  <c r="A9" i="3"/>
  <c r="A6" i="3"/>
  <c r="A4" i="3"/>
  <c r="A43" i="3"/>
  <c r="A26" i="3"/>
  <c r="A20" i="3"/>
  <c r="A3" i="3"/>
  <c r="A11" i="3"/>
</calcChain>
</file>

<file path=xl/sharedStrings.xml><?xml version="1.0" encoding="utf-8"?>
<sst xmlns="http://schemas.openxmlformats.org/spreadsheetml/2006/main" count="195" uniqueCount="86">
  <si>
    <t>Unit</t>
  </si>
  <si>
    <t>URL</t>
  </si>
  <si>
    <t>https://wahapedia.ru/wh40k11ed/factions/space-marines/Chaplain-On-Bike</t>
  </si>
  <si>
    <t>https://wahapedia.ru/wh40k11ed/factions/space-marines/Assault-Intercessor-Squad</t>
  </si>
  <si>
    <t>https://wahapedia.ru/wh40k11ed/factions/space-marines/Heavy-Intercessor-Squad</t>
  </si>
  <si>
    <t>https://wahapedia.ru/wh40k11ed/factions/space-marines/Intercessor-Squad</t>
  </si>
  <si>
    <t>https://wahapedia.ru/wh40k11ed/factions/space-marines/Tactical-Squad</t>
  </si>
  <si>
    <t>https://wahapedia.ru/wh40k11ed/factions/space-marines/Assault-Intercessors-With-Jump-Packs</t>
  </si>
  <si>
    <t>https://wahapedia.ru/wh40k11ed/factions/space-marines/Bladeguard-Veteran-Squad</t>
  </si>
  <si>
    <t>https://wahapedia.ru/wh40k11ed/factions/space-marines/Centurion-Assault-Squad</t>
  </si>
  <si>
    <t>https://wahapedia.ru/wh40k11ed/factions/space-marines/Company-Heroes</t>
  </si>
  <si>
    <t>https://wahapedia.ru/wh40k11ed/factions/space-marines/Desolation-Squad</t>
  </si>
  <si>
    <t>https://wahapedia.ru/wh40k11ed/factions/space-marines/Devastator-Squad</t>
  </si>
  <si>
    <t>https://wahapedia.ru/wh40k11ed/factions/space-marines/Eliminator-Squad</t>
  </si>
  <si>
    <t>https://wahapedia.ru/wh40k11ed/factions/space-marines/Eradicator-Squad</t>
  </si>
  <si>
    <t>https://wahapedia.ru/wh40k11ed/factions/space-marines/Hellblaster-Squad</t>
  </si>
  <si>
    <t>https://wahapedia.ru/wh40k11ed/factions/space-marines/Inceptor-Squad</t>
  </si>
  <si>
    <t>https://wahapedia.ru/wh40k11ed/factions/space-marines/Incursor-Squad</t>
  </si>
  <si>
    <t>https://wahapedia.ru/wh40k11ed/factions/space-marines/Infernus-Squad</t>
  </si>
  <si>
    <t>https://wahapedia.ru/wh40k11ed/factions/space-marines/Infiltrator-Squad</t>
  </si>
  <si>
    <t>https://wahapedia.ru/wh40k11ed/factions/space-marines/Reiver-Squad</t>
  </si>
  <si>
    <t>https://wahapedia.ru/wh40k11ed/factions/space-marines/Scout-Squad</t>
  </si>
  <si>
    <t>https://wahapedia.ru/wh40k11ed/factions/space-marines/Sternguard-Veteran-Squad</t>
  </si>
  <si>
    <t>https://wahapedia.ru/wh40k11ed/factions/space-marines/Terminator-Assault-Squad</t>
  </si>
  <si>
    <t>https://wahapedia.ru/wh40k11ed/factions/space-marines/Terminator-Squad</t>
  </si>
  <si>
    <t>https://wahapedia.ru/wh40k11ed/factions/space-marines/Vanguard-Veteran-Squad-With-Jump-Packs</t>
  </si>
  <si>
    <t>https://wahapedia.ru/wh40k11ed/factions/space-marines/Invader-ATV</t>
  </si>
  <si>
    <t>https://wahapedia.ru/wh40k11ed/factions/space-marines/Outrider-Squad</t>
  </si>
  <si>
    <t>https://wahapedia.ru/wh40k11ed/factions/space-marines/Land-Raider</t>
  </si>
  <si>
    <t>https://wahapedia.ru/wh40k11ed/factions/space-marines/Repulsor-Executioner</t>
  </si>
  <si>
    <t>https://wahapedia.ru/wh40k11ed/factions/space-marines/Gladiator-Lancer</t>
  </si>
  <si>
    <t>https://wahapedia.ru/wh40k11ed/factions/space-marines/Gladiator-Reaper</t>
  </si>
  <si>
    <t>https://wahapedia.ru/wh40k11ed/factions/space-marines/Gladiator-Valiant</t>
  </si>
  <si>
    <t>https://wahapedia.ru/wh40k11ed/factions/space-marines/Land-Speeder</t>
  </si>
  <si>
    <t>https://wahapedia.ru/wh40k11ed/factions/space-marines/Storm-Speeder-Hailstrike</t>
  </si>
  <si>
    <t>https://wahapedia.ru/wh40k11ed/factions/space-marines/Storm-Speeder-Hammerstrike</t>
  </si>
  <si>
    <t>https://wahapedia.ru/wh40k11ed/factions/space-marines/Storm-Speeder-Thunderstrik</t>
  </si>
  <si>
    <t>https://wahapedia.ru/wh40k11ed/factions/space-marines/Vindicator</t>
  </si>
  <si>
    <t>https://wahapedia.ru/wh40k11ed/factions/space-marines/Whirlwind</t>
  </si>
  <si>
    <t>https://wahapedia.ru/wh40k11ed/factions/space-marines/Ballistus-Dreadnought</t>
  </si>
  <si>
    <t>https://wahapedia.ru/wh40k11ed/factions/space-marines/Brutalis-Dreadnought-UL</t>
  </si>
  <si>
    <t>https://wahapedia.ru/wh40k11ed/factions/space-marines/Marneus-Calgar-in-Armour-of-Antilochus</t>
  </si>
  <si>
    <t>https://wahapedia.ru/wh40k11ed/factions/space-marines/Roboute-Guilliman</t>
  </si>
  <si>
    <t>https://wahapedia.ru/wh40k11ed/factions/space-marines/Captain-In-Terminator-Armour</t>
  </si>
  <si>
    <t>https://wahapedia.ru/wh40k11ed/factions/space-marines/Chaplain-In-Terminator-Armour</t>
  </si>
  <si>
    <t>https://wahapedia.ru/wh40k11ed/factions/space-marines/Lieutenant</t>
  </si>
  <si>
    <t>https://wahapedia.ru/wh40k11ed/factions/space-marines/Lieutenant-In-Phobos-Armour</t>
  </si>
  <si>
    <t>https://wahapedia.ru/wh40k11ed/factions/space-marines/Techmarine</t>
  </si>
  <si>
    <t>https://wahapedia.ru/wh40k11ed/factions/space-marines/Apothecary</t>
  </si>
  <si>
    <t>Name</t>
  </si>
  <si>
    <t>Detachments</t>
  </si>
  <si>
    <t>Force Disposition</t>
  </si>
  <si>
    <t>Points</t>
  </si>
  <si>
    <t>Karnage Kup - Sept 26</t>
  </si>
  <si>
    <t>Headhunter Task Force, Vengeful Hosts</t>
  </si>
  <si>
    <t>Take and Hold</t>
  </si>
  <si>
    <t>Army</t>
  </si>
  <si>
    <t>Status</t>
  </si>
  <si>
    <t>Live</t>
  </si>
  <si>
    <t>Gladiator Lancer</t>
  </si>
  <si>
    <t>Repulsor Executioner</t>
  </si>
  <si>
    <t>Assault Intercessor Squad</t>
  </si>
  <si>
    <t>Heavy Intercessor Squad</t>
  </si>
  <si>
    <t>Intercessor Squad</t>
  </si>
  <si>
    <t>Brutalis Dreadnought</t>
  </si>
  <si>
    <t>Outrider Squad</t>
  </si>
  <si>
    <t>Assault Intercessors With Jump Packs</t>
  </si>
  <si>
    <t>Hellblaster Squad</t>
  </si>
  <si>
    <t>Inceptor Squad</t>
  </si>
  <si>
    <t>Scout Squad</t>
  </si>
  <si>
    <t>Loadout</t>
  </si>
  <si>
    <t>• 2 Storm bolters, Armoured hull, Icarus rocket pod, Ironhail heavy stubber, Lancer laser destroyer and Tank ace character</t>
  </si>
  <si>
    <t>• Warlord
• Armoured hull, Heavy laser destroyer, Heavy onslaught gatling cannon, Icarus rocket pod, Ironhail heavy stubber, Repulsor executioner defensive array, Tank ace character, Twin heavy bolter and Twin icarus ironhail heavy stubber
• Firestorm Coordinators [+20 points]</t>
  </si>
  <si>
    <t>• 1 Assault Intercessor Sergeant with Plasma pistol and Power fist
• 4 Assault Intercessors with Astartes chainsword and Heavy bolt pistol</t>
  </si>
  <si>
    <t>• 1 Heavy Intercessor Sergeant with Bolt pistol, Close combat weapon and Heavy bolt rifle
• 3 Heavy Intercessors with Bolt pistol, Close combat weapon and Heavy bolt rifle
• 1 Heavy Intercessors with Bolt pistol, Close combat weapon and Heavy bolter</t>
  </si>
  <si>
    <t>• 1 Intercessor Sergeant with Bolt pistol, Bolt rifle and astartes grenade launcher and Power fist
• 4 Intercessors with Bolt pistol, Bolt rifle and Close combat weapon</t>
  </si>
  <si>
    <t>• Brutalis talons, Twin icarus ironhail heavy stubber and Twin multi-melta</t>
  </si>
  <si>
    <t>• 1 Outrider Sergeant with Astartes chainsword, Heavy bolt pistol and Twin bolt rifle
• 2 Outriders with Astartes chainsword, Heavy bolt pistol and Twin bolt rifle</t>
  </si>
  <si>
    <t>• 1 Assault Intercessor Sergeant with Jump Pack with One plasma pistol and Power fist
• 3 Assault Intercessors with Jump Pack with Astartes chainsword and Heavy bolt pistol
• 1 Assault Intercessors with Jump Pack with Astartes chainsword and Plasma pistol</t>
  </si>
  <si>
    <t>• 1 Hellblaster Sergeant with Close combat weapon, Plasma incinerator and Plasma pistol
• 4 Hellblasters with Bolt pistol, Close combat weapon and Plasma incinerator</t>
  </si>
  <si>
    <t>• 1 Inceptor Sergeant with Assault bolters and Close combat weapon
• 1 Inceptors with Assault bolters and Close combat weapon
• 1 Inceptors with Assault bolters and Close combat weapon</t>
  </si>
  <si>
    <t>• 1 Scout Sergeant with Bolt pistol, Boltgun and Close combat weapon
• 2 Scouts with Bolt pistol, Boltgun and Close combat weapon
• 1 Scouts with Bolt pistol, Close combat weapon and Heavy bolter
• 1 Scouts with Bolt pistol, Close combat weapon and Scout sniper rifle</t>
  </si>
  <si>
    <t>Test Army 2</t>
  </si>
  <si>
    <t>Filename</t>
  </si>
  <si>
    <t>karnage_kup_sept_26.htm</t>
  </si>
  <si>
    <t>test_army_2.htm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</si>
</sst>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1" fillId="0" borderId="0" xfId="1"/>
    <xf numFmtId="0" fontId="0" fillId="0" borderId="0" xfId="0" applyAlignment="1">
      <alignment horizontal="left" vertical="top" wrapText="1"/>
    </xf>
  </cellXfs>
  <cellStyles count="2">
    <cellStyle name="Hyperlink" xfId="1" builtinId="8"/>
    <cellStyle name="Normal" xfId="0" builtinId="0"/>
  </cellStyles>
  <dxfs count="6">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1A0A9C-0B85-43BB-B462-837C1C7484C0}" name="Table2" displayName="Table2" ref="A1:E3" totalsRowShown="0">
  <autoFilter ref="A1:E3" xr:uid="{1E1A0A9C-0B85-43BB-B462-837C1C7484C0}"/>
  <tableColumns count="5">
    <tableColumn id="1" xr3:uid="{EDEC98E1-1643-4EA2-9E4B-FE916792E5B1}" name="Name"/>
    <tableColumn id="5" xr3:uid="{251B21C7-5818-4DE1-B6D3-E50D831392BC}" name="Filename"/>
    <tableColumn id="2" xr3:uid="{79ADD4DC-F450-4562-B55D-00DE88C970CC}" name="Detachments"/>
    <tableColumn id="3" xr3:uid="{E26181D9-2AB9-4CBB-8690-A688DD37A815}" name="Force Disposition"/>
    <tableColumn id="4" xr3:uid="{631B4AF7-CC9A-4B81-8E0B-30D667586FE9}" name="Points"/>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6774714-4CA3-48BA-B68B-355C561578BC}" name="Table3" displayName="Table3" ref="A1:C49" totalsRowShown="0">
  <autoFilter ref="A1:C49" xr:uid="{B6774714-4CA3-48BA-B68B-355C561578BC}"/>
  <tableColumns count="3">
    <tableColumn id="1" xr3:uid="{AB0BCAEB-F983-4187-A1A8-68536B2EA09C}" name="Unit">
      <calculatedColumnFormula>SUBSTITUTE(_xlfn.TEXTAFTER(B2,"/",-1),"-"," ")</calculatedColumnFormula>
    </tableColumn>
    <tableColumn id="2" xr3:uid="{60011380-9104-419E-A038-5B61ADFFD9E4}" name="URL" dataCellStyle="Hyperlink"/>
    <tableColumn id="3" xr3:uid="{52ED889C-E038-42F0-A7C6-BBFCFE6E519E}" name="Status"/>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744791-06D7-4EF3-BE69-BAC7819FD4A5}" name="Table1" displayName="Table1" ref="A1:D27" totalsRowShown="0" headerRowDxfId="5" dataDxfId="4">
  <autoFilter ref="A1:D27" xr:uid="{10744791-06D7-4EF3-BE69-BAC7819FD4A5}"/>
  <tableColumns count="4">
    <tableColumn id="1" xr3:uid="{7E4CAC4F-C3E6-47BB-A3BD-560DA50062D3}" name="Army" dataDxfId="3"/>
    <tableColumn id="2" xr3:uid="{707494A6-2864-43B4-9574-F86A45C57CCD}" name="Unit" dataDxfId="2"/>
    <tableColumn id="3" xr3:uid="{E452D1B8-9EC8-4CB2-A3A1-919984493956}" name="Points" dataDxfId="1"/>
    <tableColumn id="4" xr3:uid="{982EC252-66FE-4B79-BB1B-DC3F3BDF9AC0}" name="Loadout"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3" Type="http://schemas.openxmlformats.org/officeDocument/2006/relationships/hyperlink" Target="https://wahapedia.ru/wh40k11ed/factions/space-marines/Eradicator-Squad" TargetMode="External"/><Relationship Id="rId18" Type="http://schemas.openxmlformats.org/officeDocument/2006/relationships/hyperlink" Target="https://wahapedia.ru/wh40k11ed/factions/space-marines/Infiltrator-Squad" TargetMode="External"/><Relationship Id="rId26" Type="http://schemas.openxmlformats.org/officeDocument/2006/relationships/hyperlink" Target="https://wahapedia.ru/wh40k11ed/factions/space-marines/Invader-ATV" TargetMode="External"/><Relationship Id="rId39" Type="http://schemas.openxmlformats.org/officeDocument/2006/relationships/hyperlink" Target="https://wahapedia.ru/wh40k11ed/factions/space-marines/Ballistus-Dreadnought" TargetMode="External"/><Relationship Id="rId21" Type="http://schemas.openxmlformats.org/officeDocument/2006/relationships/hyperlink" Target="https://wahapedia.ru/wh40k11ed/factions/space-marines/Scout-Squad" TargetMode="External"/><Relationship Id="rId34" Type="http://schemas.openxmlformats.org/officeDocument/2006/relationships/hyperlink" Target="https://wahapedia.ru/wh40k11ed/factions/space-marines/Storm-Speeder-Hailstrike" TargetMode="External"/><Relationship Id="rId42" Type="http://schemas.openxmlformats.org/officeDocument/2006/relationships/hyperlink" Target="https://wahapedia.ru/wh40k11ed/factions/space-marines/Roboute-Guilliman" TargetMode="External"/><Relationship Id="rId47" Type="http://schemas.openxmlformats.org/officeDocument/2006/relationships/hyperlink" Target="https://wahapedia.ru/wh40k11ed/factions/space-marines/Techmarine" TargetMode="External"/><Relationship Id="rId7" Type="http://schemas.openxmlformats.org/officeDocument/2006/relationships/hyperlink" Target="https://wahapedia.ru/wh40k11ed/factions/space-marines/Bladeguard-Veteran-Squad" TargetMode="External"/><Relationship Id="rId2" Type="http://schemas.openxmlformats.org/officeDocument/2006/relationships/hyperlink" Target="https://wahapedia.ru/wh40k11ed/factions/space-marines/Assault-Intercessor-Squad" TargetMode="External"/><Relationship Id="rId16" Type="http://schemas.openxmlformats.org/officeDocument/2006/relationships/hyperlink" Target="https://wahapedia.ru/wh40k11ed/factions/space-marines/Incursor-Squad" TargetMode="External"/><Relationship Id="rId29" Type="http://schemas.openxmlformats.org/officeDocument/2006/relationships/hyperlink" Target="https://wahapedia.ru/wh40k11ed/factions/space-marines/Repulsor-Executioner" TargetMode="External"/><Relationship Id="rId11" Type="http://schemas.openxmlformats.org/officeDocument/2006/relationships/hyperlink" Target="https://wahapedia.ru/wh40k11ed/factions/space-marines/Devastator-Squad" TargetMode="External"/><Relationship Id="rId24" Type="http://schemas.openxmlformats.org/officeDocument/2006/relationships/hyperlink" Target="https://wahapedia.ru/wh40k11ed/factions/space-marines/Terminator-Squad" TargetMode="External"/><Relationship Id="rId32" Type="http://schemas.openxmlformats.org/officeDocument/2006/relationships/hyperlink" Target="https://wahapedia.ru/wh40k11ed/factions/space-marines/Gladiator-Valiant" TargetMode="External"/><Relationship Id="rId37" Type="http://schemas.openxmlformats.org/officeDocument/2006/relationships/hyperlink" Target="https://wahapedia.ru/wh40k11ed/factions/space-marines/Vindicator" TargetMode="External"/><Relationship Id="rId40" Type="http://schemas.openxmlformats.org/officeDocument/2006/relationships/hyperlink" Target="https://wahapedia.ru/wh40k11ed/factions/space-marines/Brutalis-Dreadnought-UL" TargetMode="External"/><Relationship Id="rId45" Type="http://schemas.openxmlformats.org/officeDocument/2006/relationships/hyperlink" Target="https://wahapedia.ru/wh40k11ed/factions/space-marines/Lieutenant" TargetMode="External"/><Relationship Id="rId5" Type="http://schemas.openxmlformats.org/officeDocument/2006/relationships/hyperlink" Target="https://wahapedia.ru/wh40k11ed/factions/space-marines/Tactical-Squad" TargetMode="External"/><Relationship Id="rId15" Type="http://schemas.openxmlformats.org/officeDocument/2006/relationships/hyperlink" Target="https://wahapedia.ru/wh40k11ed/factions/space-marines/Inceptor-Squad" TargetMode="External"/><Relationship Id="rId23" Type="http://schemas.openxmlformats.org/officeDocument/2006/relationships/hyperlink" Target="https://wahapedia.ru/wh40k11ed/factions/space-marines/Terminator-Assault-Squad" TargetMode="External"/><Relationship Id="rId28" Type="http://schemas.openxmlformats.org/officeDocument/2006/relationships/hyperlink" Target="https://wahapedia.ru/wh40k11ed/factions/space-marines/Land-Raider" TargetMode="External"/><Relationship Id="rId36" Type="http://schemas.openxmlformats.org/officeDocument/2006/relationships/hyperlink" Target="https://wahapedia.ru/wh40k11ed/factions/space-marines/Storm-Speeder-Thunderstrik" TargetMode="External"/><Relationship Id="rId49" Type="http://schemas.openxmlformats.org/officeDocument/2006/relationships/table" Target="../tables/table2.xml"/><Relationship Id="rId10" Type="http://schemas.openxmlformats.org/officeDocument/2006/relationships/hyperlink" Target="https://wahapedia.ru/wh40k11ed/factions/space-marines/Desolation-Squad" TargetMode="External"/><Relationship Id="rId19" Type="http://schemas.openxmlformats.org/officeDocument/2006/relationships/hyperlink" Target="https://wahapedia.ru/wh40k11ed/factions/space-marines/Reiver-Squad" TargetMode="External"/><Relationship Id="rId31" Type="http://schemas.openxmlformats.org/officeDocument/2006/relationships/hyperlink" Target="https://wahapedia.ru/wh40k11ed/factions/space-marines/Gladiator-Reaper" TargetMode="External"/><Relationship Id="rId44" Type="http://schemas.openxmlformats.org/officeDocument/2006/relationships/hyperlink" Target="https://wahapedia.ru/wh40k11ed/factions/space-marines/Chaplain-In-Terminator-Armour" TargetMode="External"/><Relationship Id="rId4" Type="http://schemas.openxmlformats.org/officeDocument/2006/relationships/hyperlink" Target="https://wahapedia.ru/wh40k11ed/factions/space-marines/Intercessor-Squad" TargetMode="External"/><Relationship Id="rId9" Type="http://schemas.openxmlformats.org/officeDocument/2006/relationships/hyperlink" Target="https://wahapedia.ru/wh40k11ed/factions/space-marines/Company-Heroes" TargetMode="External"/><Relationship Id="rId14" Type="http://schemas.openxmlformats.org/officeDocument/2006/relationships/hyperlink" Target="https://wahapedia.ru/wh40k11ed/factions/space-marines/Hellblaster-Squad" TargetMode="External"/><Relationship Id="rId22" Type="http://schemas.openxmlformats.org/officeDocument/2006/relationships/hyperlink" Target="https://wahapedia.ru/wh40k11ed/factions/space-marines/Sternguard-Veteran-Squad" TargetMode="External"/><Relationship Id="rId27" Type="http://schemas.openxmlformats.org/officeDocument/2006/relationships/hyperlink" Target="https://wahapedia.ru/wh40k11ed/factions/space-marines/Outrider-Squad" TargetMode="External"/><Relationship Id="rId30" Type="http://schemas.openxmlformats.org/officeDocument/2006/relationships/hyperlink" Target="https://wahapedia.ru/wh40k11ed/factions/space-marines/Gladiator-Lancer" TargetMode="External"/><Relationship Id="rId35" Type="http://schemas.openxmlformats.org/officeDocument/2006/relationships/hyperlink" Target="https://wahapedia.ru/wh40k11ed/factions/space-marines/Storm-Speeder-Hammerstrike" TargetMode="External"/><Relationship Id="rId43" Type="http://schemas.openxmlformats.org/officeDocument/2006/relationships/hyperlink" Target="https://wahapedia.ru/wh40k11ed/factions/space-marines/Captain-In-Terminator-Armour" TargetMode="External"/><Relationship Id="rId48" Type="http://schemas.openxmlformats.org/officeDocument/2006/relationships/hyperlink" Target="https://wahapedia.ru/wh40k11ed/factions/space-marines/Apothecary" TargetMode="External"/><Relationship Id="rId8" Type="http://schemas.openxmlformats.org/officeDocument/2006/relationships/hyperlink" Target="https://wahapedia.ru/wh40k11ed/factions/space-marines/Centurion-Assault-Squad" TargetMode="External"/><Relationship Id="rId3" Type="http://schemas.openxmlformats.org/officeDocument/2006/relationships/hyperlink" Target="https://wahapedia.ru/wh40k11ed/factions/space-marines/Chaplain-On-Bike" TargetMode="External"/><Relationship Id="rId12" Type="http://schemas.openxmlformats.org/officeDocument/2006/relationships/hyperlink" Target="https://wahapedia.ru/wh40k11ed/factions/space-marines/Eliminator-Squad" TargetMode="External"/><Relationship Id="rId17" Type="http://schemas.openxmlformats.org/officeDocument/2006/relationships/hyperlink" Target="https://wahapedia.ru/wh40k11ed/factions/space-marines/Infernus-Squad" TargetMode="External"/><Relationship Id="rId25" Type="http://schemas.openxmlformats.org/officeDocument/2006/relationships/hyperlink" Target="https://wahapedia.ru/wh40k11ed/factions/space-marines/Vanguard-Veteran-Squad-With-Jump-Packs" TargetMode="External"/><Relationship Id="rId33" Type="http://schemas.openxmlformats.org/officeDocument/2006/relationships/hyperlink" Target="https://wahapedia.ru/wh40k11ed/factions/space-marines/Land-Speeder" TargetMode="External"/><Relationship Id="rId38" Type="http://schemas.openxmlformats.org/officeDocument/2006/relationships/hyperlink" Target="https://wahapedia.ru/wh40k11ed/factions/space-marines/Whirlwind" TargetMode="External"/><Relationship Id="rId46" Type="http://schemas.openxmlformats.org/officeDocument/2006/relationships/hyperlink" Target="https://wahapedia.ru/wh40k11ed/factions/space-marines/Lieutenant-In-Phobos-Armour" TargetMode="External"/><Relationship Id="rId20" Type="http://schemas.openxmlformats.org/officeDocument/2006/relationships/hyperlink" Target="https://wahapedia.ru/wh40k11ed/factions/space-marines/Reiver-Squad" TargetMode="External"/><Relationship Id="rId41" Type="http://schemas.openxmlformats.org/officeDocument/2006/relationships/hyperlink" Target="https://wahapedia.ru/wh40k11ed/factions/space-marines/Marneus-Calgar-in-Armour-of-Antilochus" TargetMode="External"/><Relationship Id="rId1" Type="http://schemas.openxmlformats.org/officeDocument/2006/relationships/hyperlink" Target="https://wahapedia.ru/wh40k11ed/factions/space-marines/Heavy-Intercessor-Squad" TargetMode="External"/><Relationship Id="rId6" Type="http://schemas.openxmlformats.org/officeDocument/2006/relationships/hyperlink" Target="https://wahapedia.ru/wh40k11ed/factions/space-marines/Assault-Intercessors-With-Jump-Pack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96935-E92A-444D-A1EC-AB72AD463D3F}">
  <dimension ref="A1:E3"/>
  <sheetViews>
    <sheetView workbookViewId="0">
      <selection activeCell="B2" sqref="B2"/>
    </sheetView>
  </sheetViews>
  <sheetFormatPr defaultRowHeight="14.5" x14ac:dyDescent="0.35"/>
  <cols>
    <col min="1" max="1" width="19" bestFit="1" customWidth="1"/>
    <col min="2" max="2" width="19" customWidth="1"/>
    <col min="3" max="3" width="14" customWidth="1"/>
    <col min="4" max="4" width="17.1796875" customWidth="1"/>
  </cols>
  <sheetData>
    <row r="1" spans="1:5" x14ac:dyDescent="0.35">
      <c r="A1" t="s">
        <v>49</v>
      </c>
      <c r="B1" t="s">
        <v>83</v>
      </c>
      <c r="C1" t="s">
        <v>50</v>
      </c>
      <c r="D1" t="s">
        <v>51</v>
      </c>
      <c r="E1" t="s">
        <v>52</v>
      </c>
    </row>
    <row r="2" spans="1:5" x14ac:dyDescent="0.35">
      <c r="A2" t="s">
        <v>53</v>
      </c>
      <c r="B2" t="s">
        <v>84</v>
      </c>
      <c r="C2" t="s">
        <v>54</v>
      </c>
      <c r="D2" t="s">
        <v>55</v>
      </c>
      <c r="E2">
        <v>1495</v>
      </c>
    </row>
    <row r="3" spans="1:5" x14ac:dyDescent="0.35">
      <c r="A3" t="s">
        <v>82</v>
      </c>
      <c r="B3" t="s">
        <v>85</v>
      </c>
      <c r="C3" t="s">
        <v>54</v>
      </c>
      <c r="D3" t="s">
        <v>55</v>
      </c>
      <c r="E3">
        <v>1495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321E0-5364-4C93-BFA9-1D806D73C853}">
  <dimension ref="A1:C49"/>
  <sheetViews>
    <sheetView workbookViewId="0">
      <selection activeCell="D2" sqref="D2"/>
    </sheetView>
  </sheetViews>
  <sheetFormatPr defaultRowHeight="14.5" x14ac:dyDescent="0.35"/>
  <cols>
    <col min="1" max="1" width="36.36328125" bestFit="1" customWidth="1"/>
    <col min="2" max="2" width="87.90625" bestFit="1" customWidth="1"/>
  </cols>
  <sheetData>
    <row r="1" spans="1:3" x14ac:dyDescent="0.35">
      <c r="A1" t="s">
        <v>0</v>
      </c>
      <c r="B1" t="s">
        <v>1</v>
      </c>
      <c r="C1" t="s">
        <v>57</v>
      </c>
    </row>
    <row r="2" spans="1:3" x14ac:dyDescent="0.35">
      <c r="A2" t="str">
        <f>SUBSTITUTE(_xlfn.TEXTAFTER(B2,"/",-1),"-"," ")</f>
        <v>Apothecary</v>
      </c>
      <c r="B2" s="1" t="s">
        <v>48</v>
      </c>
      <c r="C2" t="s">
        <v>58</v>
      </c>
    </row>
    <row r="3" spans="1:3" x14ac:dyDescent="0.35">
      <c r="A3" t="str">
        <f>SUBSTITUTE(_xlfn.TEXTAFTER(B3,"/",-1),"-"," ")</f>
        <v>Assault Intercessor Squad</v>
      </c>
      <c r="B3" s="1" t="s">
        <v>3</v>
      </c>
      <c r="C3" t="s">
        <v>58</v>
      </c>
    </row>
    <row r="4" spans="1:3" x14ac:dyDescent="0.35">
      <c r="A4" t="str">
        <f>SUBSTITUTE(_xlfn.TEXTAFTER(B4,"/",-1),"-"," ")</f>
        <v>Assault Intercessors With Jump Packs</v>
      </c>
      <c r="B4" s="1" t="s">
        <v>7</v>
      </c>
      <c r="C4" t="s">
        <v>58</v>
      </c>
    </row>
    <row r="5" spans="1:3" x14ac:dyDescent="0.35">
      <c r="A5" t="str">
        <f>SUBSTITUTE(_xlfn.TEXTAFTER(B5,"/",-1),"-"," ")</f>
        <v>Ballistus Dreadnought</v>
      </c>
      <c r="B5" s="1" t="s">
        <v>39</v>
      </c>
      <c r="C5" t="s">
        <v>58</v>
      </c>
    </row>
    <row r="6" spans="1:3" x14ac:dyDescent="0.35">
      <c r="A6" t="str">
        <f>SUBSTITUTE(_xlfn.TEXTAFTER(B6,"/",-1),"-"," ")</f>
        <v>Bladeguard Veteran Squad</v>
      </c>
      <c r="B6" s="1" t="s">
        <v>8</v>
      </c>
      <c r="C6" t="s">
        <v>58</v>
      </c>
    </row>
    <row r="7" spans="1:3" x14ac:dyDescent="0.35">
      <c r="A7" t="s">
        <v>64</v>
      </c>
      <c r="B7" s="1" t="s">
        <v>40</v>
      </c>
      <c r="C7" t="s">
        <v>58</v>
      </c>
    </row>
    <row r="8" spans="1:3" x14ac:dyDescent="0.35">
      <c r="A8" t="str">
        <f t="shared" ref="A8:A49" si="0">SUBSTITUTE(_xlfn.TEXTAFTER(B8,"/",-1),"-"," ")</f>
        <v>Captain In Terminator Armour</v>
      </c>
      <c r="B8" s="1" t="s">
        <v>43</v>
      </c>
      <c r="C8" t="s">
        <v>58</v>
      </c>
    </row>
    <row r="9" spans="1:3" x14ac:dyDescent="0.35">
      <c r="A9" t="str">
        <f t="shared" si="0"/>
        <v>Centurion Assault Squad</v>
      </c>
      <c r="B9" s="1" t="s">
        <v>9</v>
      </c>
      <c r="C9" t="s">
        <v>58</v>
      </c>
    </row>
    <row r="10" spans="1:3" x14ac:dyDescent="0.35">
      <c r="A10" t="str">
        <f t="shared" si="0"/>
        <v>Chaplain In Terminator Armour</v>
      </c>
      <c r="B10" s="1" t="s">
        <v>44</v>
      </c>
      <c r="C10" t="s">
        <v>58</v>
      </c>
    </row>
    <row r="11" spans="1:3" x14ac:dyDescent="0.35">
      <c r="A11" t="str">
        <f t="shared" si="0"/>
        <v>Chaplain On Bike</v>
      </c>
      <c r="B11" s="1" t="s">
        <v>2</v>
      </c>
      <c r="C11" t="s">
        <v>58</v>
      </c>
    </row>
    <row r="12" spans="1:3" x14ac:dyDescent="0.35">
      <c r="A12" t="str">
        <f t="shared" si="0"/>
        <v>Company Heroes</v>
      </c>
      <c r="B12" s="1" t="s">
        <v>10</v>
      </c>
      <c r="C12" t="s">
        <v>58</v>
      </c>
    </row>
    <row r="13" spans="1:3" x14ac:dyDescent="0.35">
      <c r="A13" t="str">
        <f t="shared" si="0"/>
        <v>Desolation Squad</v>
      </c>
      <c r="B13" s="1" t="s">
        <v>11</v>
      </c>
      <c r="C13" t="s">
        <v>58</v>
      </c>
    </row>
    <row r="14" spans="1:3" x14ac:dyDescent="0.35">
      <c r="A14" t="str">
        <f t="shared" si="0"/>
        <v>Devastator Squad</v>
      </c>
      <c r="B14" s="1" t="s">
        <v>12</v>
      </c>
      <c r="C14" t="s">
        <v>58</v>
      </c>
    </row>
    <row r="15" spans="1:3" x14ac:dyDescent="0.35">
      <c r="A15" t="str">
        <f t="shared" si="0"/>
        <v>Eliminator Squad</v>
      </c>
      <c r="B15" s="1" t="s">
        <v>13</v>
      </c>
      <c r="C15" t="s">
        <v>58</v>
      </c>
    </row>
    <row r="16" spans="1:3" x14ac:dyDescent="0.35">
      <c r="A16" t="str">
        <f t="shared" si="0"/>
        <v>Eradicator Squad</v>
      </c>
      <c r="B16" s="1" t="s">
        <v>14</v>
      </c>
      <c r="C16" t="s">
        <v>58</v>
      </c>
    </row>
    <row r="17" spans="1:3" x14ac:dyDescent="0.35">
      <c r="A17" t="str">
        <f t="shared" si="0"/>
        <v>Gladiator Lancer</v>
      </c>
      <c r="B17" s="1" t="s">
        <v>30</v>
      </c>
      <c r="C17" t="s">
        <v>58</v>
      </c>
    </row>
    <row r="18" spans="1:3" x14ac:dyDescent="0.35">
      <c r="A18" t="str">
        <f t="shared" si="0"/>
        <v>Gladiator Reaper</v>
      </c>
      <c r="B18" s="1" t="s">
        <v>31</v>
      </c>
      <c r="C18" t="s">
        <v>58</v>
      </c>
    </row>
    <row r="19" spans="1:3" x14ac:dyDescent="0.35">
      <c r="A19" t="str">
        <f t="shared" si="0"/>
        <v>Gladiator Valiant</v>
      </c>
      <c r="B19" s="1" t="s">
        <v>32</v>
      </c>
      <c r="C19" t="s">
        <v>58</v>
      </c>
    </row>
    <row r="20" spans="1:3" x14ac:dyDescent="0.35">
      <c r="A20" t="str">
        <f t="shared" si="0"/>
        <v>Heavy Intercessor Squad</v>
      </c>
      <c r="B20" s="1" t="s">
        <v>4</v>
      </c>
      <c r="C20" t="s">
        <v>58</v>
      </c>
    </row>
    <row r="21" spans="1:3" x14ac:dyDescent="0.35">
      <c r="A21" t="str">
        <f t="shared" si="0"/>
        <v>Hellblaster Squad</v>
      </c>
      <c r="B21" s="1" t="s">
        <v>15</v>
      </c>
      <c r="C21" t="s">
        <v>58</v>
      </c>
    </row>
    <row r="22" spans="1:3" x14ac:dyDescent="0.35">
      <c r="A22" t="str">
        <f t="shared" si="0"/>
        <v>Inceptor Squad</v>
      </c>
      <c r="B22" s="1" t="s">
        <v>16</v>
      </c>
      <c r="C22" t="s">
        <v>58</v>
      </c>
    </row>
    <row r="23" spans="1:3" x14ac:dyDescent="0.35">
      <c r="A23" t="str">
        <f t="shared" si="0"/>
        <v>Incursor Squad</v>
      </c>
      <c r="B23" s="1" t="s">
        <v>17</v>
      </c>
      <c r="C23" t="s">
        <v>58</v>
      </c>
    </row>
    <row r="24" spans="1:3" x14ac:dyDescent="0.35">
      <c r="A24" t="str">
        <f t="shared" si="0"/>
        <v>Infernus Squad</v>
      </c>
      <c r="B24" s="1" t="s">
        <v>18</v>
      </c>
      <c r="C24" t="s">
        <v>58</v>
      </c>
    </row>
    <row r="25" spans="1:3" x14ac:dyDescent="0.35">
      <c r="A25" t="str">
        <f t="shared" si="0"/>
        <v>Infiltrator Squad</v>
      </c>
      <c r="B25" s="1" t="s">
        <v>19</v>
      </c>
      <c r="C25" t="s">
        <v>58</v>
      </c>
    </row>
    <row r="26" spans="1:3" x14ac:dyDescent="0.35">
      <c r="A26" t="str">
        <f t="shared" si="0"/>
        <v>Intercessor Squad</v>
      </c>
      <c r="B26" s="1" t="s">
        <v>5</v>
      </c>
      <c r="C26" t="s">
        <v>58</v>
      </c>
    </row>
    <row r="27" spans="1:3" x14ac:dyDescent="0.35">
      <c r="A27" t="str">
        <f t="shared" si="0"/>
        <v>Invader ATV</v>
      </c>
      <c r="B27" s="1" t="s">
        <v>26</v>
      </c>
      <c r="C27" t="s">
        <v>58</v>
      </c>
    </row>
    <row r="28" spans="1:3" x14ac:dyDescent="0.35">
      <c r="A28" t="str">
        <f t="shared" si="0"/>
        <v>Land Raider</v>
      </c>
      <c r="B28" s="1" t="s">
        <v>28</v>
      </c>
      <c r="C28" t="s">
        <v>58</v>
      </c>
    </row>
    <row r="29" spans="1:3" x14ac:dyDescent="0.35">
      <c r="A29" t="str">
        <f t="shared" si="0"/>
        <v>Land Speeder</v>
      </c>
      <c r="B29" s="1" t="s">
        <v>33</v>
      </c>
      <c r="C29" t="s">
        <v>58</v>
      </c>
    </row>
    <row r="30" spans="1:3" x14ac:dyDescent="0.35">
      <c r="A30" t="str">
        <f t="shared" si="0"/>
        <v>Lieutenant</v>
      </c>
      <c r="B30" s="1" t="s">
        <v>45</v>
      </c>
      <c r="C30" t="s">
        <v>58</v>
      </c>
    </row>
    <row r="31" spans="1:3" x14ac:dyDescent="0.35">
      <c r="A31" t="str">
        <f t="shared" si="0"/>
        <v>Lieutenant In Phobos Armour</v>
      </c>
      <c r="B31" s="1" t="s">
        <v>46</v>
      </c>
      <c r="C31" t="s">
        <v>58</v>
      </c>
    </row>
    <row r="32" spans="1:3" x14ac:dyDescent="0.35">
      <c r="A32" t="str">
        <f t="shared" si="0"/>
        <v>Marneus Calgar in Armour of Antilochus</v>
      </c>
      <c r="B32" s="1" t="s">
        <v>41</v>
      </c>
      <c r="C32" t="s">
        <v>58</v>
      </c>
    </row>
    <row r="33" spans="1:3" x14ac:dyDescent="0.35">
      <c r="A33" t="str">
        <f t="shared" si="0"/>
        <v>Outrider Squad</v>
      </c>
      <c r="B33" s="1" t="s">
        <v>27</v>
      </c>
      <c r="C33" t="s">
        <v>58</v>
      </c>
    </row>
    <row r="34" spans="1:3" x14ac:dyDescent="0.35">
      <c r="A34" t="str">
        <f t="shared" si="0"/>
        <v>Reiver Squad</v>
      </c>
      <c r="B34" s="1" t="s">
        <v>20</v>
      </c>
      <c r="C34" t="s">
        <v>58</v>
      </c>
    </row>
    <row r="35" spans="1:3" x14ac:dyDescent="0.35">
      <c r="A35" t="str">
        <f t="shared" si="0"/>
        <v>Reiver Squad</v>
      </c>
      <c r="B35" s="1" t="s">
        <v>20</v>
      </c>
      <c r="C35" t="s">
        <v>58</v>
      </c>
    </row>
    <row r="36" spans="1:3" x14ac:dyDescent="0.35">
      <c r="A36" t="str">
        <f t="shared" si="0"/>
        <v>Repulsor Executioner</v>
      </c>
      <c r="B36" s="1" t="s">
        <v>29</v>
      </c>
      <c r="C36" t="s">
        <v>58</v>
      </c>
    </row>
    <row r="37" spans="1:3" x14ac:dyDescent="0.35">
      <c r="A37" t="str">
        <f t="shared" si="0"/>
        <v>Roboute Guilliman</v>
      </c>
      <c r="B37" s="1" t="s">
        <v>42</v>
      </c>
      <c r="C37" t="s">
        <v>58</v>
      </c>
    </row>
    <row r="38" spans="1:3" x14ac:dyDescent="0.35">
      <c r="A38" t="str">
        <f t="shared" si="0"/>
        <v>Scout Squad</v>
      </c>
      <c r="B38" s="1" t="s">
        <v>21</v>
      </c>
      <c r="C38" t="s">
        <v>58</v>
      </c>
    </row>
    <row r="39" spans="1:3" x14ac:dyDescent="0.35">
      <c r="A39" t="str">
        <f t="shared" si="0"/>
        <v>Sternguard Veteran Squad</v>
      </c>
      <c r="B39" s="1" t="s">
        <v>22</v>
      </c>
      <c r="C39" t="s">
        <v>58</v>
      </c>
    </row>
    <row r="40" spans="1:3" x14ac:dyDescent="0.35">
      <c r="A40" t="str">
        <f t="shared" si="0"/>
        <v>Storm Speeder Hailstrike</v>
      </c>
      <c r="B40" s="1" t="s">
        <v>34</v>
      </c>
      <c r="C40" t="s">
        <v>58</v>
      </c>
    </row>
    <row r="41" spans="1:3" x14ac:dyDescent="0.35">
      <c r="A41" t="str">
        <f t="shared" si="0"/>
        <v>Storm Speeder Hammerstrike</v>
      </c>
      <c r="B41" s="1" t="s">
        <v>35</v>
      </c>
      <c r="C41" t="s">
        <v>58</v>
      </c>
    </row>
    <row r="42" spans="1:3" x14ac:dyDescent="0.35">
      <c r="A42" t="str">
        <f t="shared" si="0"/>
        <v>Storm Speeder Thunderstrik</v>
      </c>
      <c r="B42" s="1" t="s">
        <v>36</v>
      </c>
      <c r="C42" t="s">
        <v>58</v>
      </c>
    </row>
    <row r="43" spans="1:3" x14ac:dyDescent="0.35">
      <c r="A43" t="str">
        <f t="shared" si="0"/>
        <v>Tactical Squad</v>
      </c>
      <c r="B43" s="1" t="s">
        <v>6</v>
      </c>
      <c r="C43" t="s">
        <v>58</v>
      </c>
    </row>
    <row r="44" spans="1:3" x14ac:dyDescent="0.35">
      <c r="A44" t="str">
        <f t="shared" si="0"/>
        <v>Techmarine</v>
      </c>
      <c r="B44" s="1" t="s">
        <v>47</v>
      </c>
      <c r="C44" t="s">
        <v>58</v>
      </c>
    </row>
    <row r="45" spans="1:3" x14ac:dyDescent="0.35">
      <c r="A45" t="str">
        <f t="shared" si="0"/>
        <v>Terminator Assault Squad</v>
      </c>
      <c r="B45" s="1" t="s">
        <v>23</v>
      </c>
      <c r="C45" t="s">
        <v>58</v>
      </c>
    </row>
    <row r="46" spans="1:3" x14ac:dyDescent="0.35">
      <c r="A46" t="str">
        <f t="shared" si="0"/>
        <v>Terminator Squad</v>
      </c>
      <c r="B46" s="1" t="s">
        <v>24</v>
      </c>
      <c r="C46" t="s">
        <v>58</v>
      </c>
    </row>
    <row r="47" spans="1:3" x14ac:dyDescent="0.35">
      <c r="A47" t="str">
        <f t="shared" si="0"/>
        <v>Vanguard Veteran Squad With Jump Packs</v>
      </c>
      <c r="B47" s="1" t="s">
        <v>25</v>
      </c>
      <c r="C47" t="s">
        <v>58</v>
      </c>
    </row>
    <row r="48" spans="1:3" x14ac:dyDescent="0.35">
      <c r="A48" t="str">
        <f t="shared" si="0"/>
        <v>Vindicator</v>
      </c>
      <c r="B48" s="1" t="s">
        <v>37</v>
      </c>
      <c r="C48" t="s">
        <v>58</v>
      </c>
    </row>
    <row r="49" spans="1:3" x14ac:dyDescent="0.35">
      <c r="A49" t="str">
        <f t="shared" si="0"/>
        <v>Whirlwind</v>
      </c>
      <c r="B49" s="1" t="s">
        <v>38</v>
      </c>
      <c r="C49" t="s">
        <v>58</v>
      </c>
    </row>
  </sheetData>
  <sortState xmlns:xlrd2="http://schemas.microsoft.com/office/spreadsheetml/2017/richdata2" ref="A2:C49">
    <sortCondition ref="A2:A49"/>
  </sortState>
  <hyperlinks>
    <hyperlink ref="B20" r:id="rId1" xr:uid="{1D793FB7-5C97-4448-96E8-ECE0C3485DE8}"/>
    <hyperlink ref="B3" r:id="rId2" xr:uid="{35B46985-9959-46FB-8555-D40DA60567A7}"/>
    <hyperlink ref="B11" r:id="rId3" xr:uid="{20954CFD-FACB-4512-BE99-7E82907CC923}"/>
    <hyperlink ref="B26" r:id="rId4" xr:uid="{00586747-DF8F-464E-AD40-C4FD8B611EFE}"/>
    <hyperlink ref="B43" r:id="rId5" xr:uid="{DF0A368A-4D1D-4E0F-B319-21B537E8F804}"/>
    <hyperlink ref="B4" r:id="rId6" xr:uid="{CA03AA57-FACE-425D-BA8B-49E71AF8529B}"/>
    <hyperlink ref="B6" r:id="rId7" xr:uid="{C5A74FB4-AA56-4126-A231-19EB24D69E64}"/>
    <hyperlink ref="B9" r:id="rId8" xr:uid="{143E7229-A2CA-4DD3-9A7A-4B9007C66386}"/>
    <hyperlink ref="B12" r:id="rId9" xr:uid="{9DE7B0DF-785F-4CAA-9519-DF2CCF7539AF}"/>
    <hyperlink ref="B13" r:id="rId10" xr:uid="{BBBC4DF9-A8E8-4F9F-BCEE-5B741E9C4DB7}"/>
    <hyperlink ref="B14" r:id="rId11" xr:uid="{12B5E1EB-D94D-4F59-8D27-5AA631794221}"/>
    <hyperlink ref="B15" r:id="rId12" xr:uid="{0639CD00-F722-4F06-8AC2-1E14DF8B7B68}"/>
    <hyperlink ref="B16" r:id="rId13" xr:uid="{F708AAB0-BEBC-434D-941C-7202F5DDC384}"/>
    <hyperlink ref="B21" r:id="rId14" xr:uid="{E1B6D731-7C56-427C-AAC4-5866322ECF57}"/>
    <hyperlink ref="B22" r:id="rId15" xr:uid="{28CD44F8-77DF-48CD-B158-63C16B9E4D16}"/>
    <hyperlink ref="B23" r:id="rId16" xr:uid="{A79412E5-851F-439A-886A-59721F7C1139}"/>
    <hyperlink ref="B24" r:id="rId17" xr:uid="{1A97DDE3-64B7-43C5-A121-52EA4C2D99DA}"/>
    <hyperlink ref="B25" r:id="rId18" xr:uid="{72801219-17F2-433E-96F6-054FA08D9E3F}"/>
    <hyperlink ref="B34" r:id="rId19" xr:uid="{DE72CAAD-408B-4B0E-B8CC-E0A9ADAE0BAA}"/>
    <hyperlink ref="B35" r:id="rId20" xr:uid="{01DA22C7-6A56-4CEB-AE29-A1B8639F9779}"/>
    <hyperlink ref="B38" r:id="rId21" xr:uid="{D564933C-97ED-4B6A-B39E-ED438421E2C0}"/>
    <hyperlink ref="B39" r:id="rId22" xr:uid="{AC5DA34B-28DB-44C9-97A3-FFC7694DF513}"/>
    <hyperlink ref="B45" r:id="rId23" xr:uid="{80EAD0CC-69D9-45C5-BF43-84B0EDB68497}"/>
    <hyperlink ref="B46" r:id="rId24" xr:uid="{26E25BB4-A1A8-47BA-A3AB-57EE085EF0EF}"/>
    <hyperlink ref="B47" r:id="rId25" xr:uid="{E341C1DA-27AE-490B-BD6D-2C79930C150E}"/>
    <hyperlink ref="B27" r:id="rId26" xr:uid="{A458A382-1B9C-4EE3-A5DE-AB18388D20E0}"/>
    <hyperlink ref="B33" r:id="rId27" xr:uid="{8C75BDDF-4981-4E60-B180-C5B2D4BC76A0}"/>
    <hyperlink ref="B28" r:id="rId28" xr:uid="{41D7D811-6335-4487-9A0F-F01EA1E6BFAD}"/>
    <hyperlink ref="B36" r:id="rId29" xr:uid="{CA43D72E-BFA7-4137-A0A3-736C7CB562D3}"/>
    <hyperlink ref="B17" r:id="rId30" xr:uid="{020EB860-1A1E-412D-A5EA-79F453DFCA6D}"/>
    <hyperlink ref="B18" r:id="rId31" xr:uid="{F6B65522-4E15-4B91-B4E6-EBA57F4C2617}"/>
    <hyperlink ref="B19" r:id="rId32" xr:uid="{B3583BCC-C295-4891-BAB0-7EA312BEB280}"/>
    <hyperlink ref="B29" r:id="rId33" xr:uid="{8E48052D-E060-4D25-BBE1-C7613D2A64D3}"/>
    <hyperlink ref="B40" r:id="rId34" xr:uid="{362580BE-C31B-4A0D-AB36-1825EE88BE2B}"/>
    <hyperlink ref="B41" r:id="rId35" xr:uid="{36B55DA9-1549-4E00-AA69-8928099E1EA3}"/>
    <hyperlink ref="B42" r:id="rId36" xr:uid="{1B1F2E98-A41D-4B15-9899-3EE049C2C297}"/>
    <hyperlink ref="B48" r:id="rId37" xr:uid="{43CB931F-EB5A-4173-B13F-75B9015DFFE2}"/>
    <hyperlink ref="B49" r:id="rId38" xr:uid="{B5C04C69-14F7-472B-AFCD-F411BAA8C012}"/>
    <hyperlink ref="B5" r:id="rId39" xr:uid="{660AF56A-78A8-4842-B429-61A0002E47E4}"/>
    <hyperlink ref="B7" r:id="rId40" xr:uid="{59350060-2164-46D3-BD8E-9204D9DD5939}"/>
    <hyperlink ref="B32" r:id="rId41" xr:uid="{AB27B789-F093-40E3-8140-9B47EB1EE730}"/>
    <hyperlink ref="B37" r:id="rId42" xr:uid="{142550B5-0776-4ECA-88D9-0DBC983E13C9}"/>
    <hyperlink ref="B8" r:id="rId43" xr:uid="{0C0C6FC9-E525-4FA7-A6CB-B0C49A0BA80E}"/>
    <hyperlink ref="B10" r:id="rId44" xr:uid="{EFF41DC9-1D8C-4633-AE27-7E63097A2EFF}"/>
    <hyperlink ref="B30" r:id="rId45" xr:uid="{1AA47C5D-3295-4C0F-84DD-09A185CA0E75}"/>
    <hyperlink ref="B31" r:id="rId46" xr:uid="{6ABF997B-0F02-4841-8745-538EB6C50FE3}"/>
    <hyperlink ref="B44" r:id="rId47" xr:uid="{90A308CC-FF25-401F-AC07-6B156A4BC9E0}"/>
    <hyperlink ref="B2" r:id="rId48" xr:uid="{8D31CBE3-FBA0-4520-8138-8C55F96D42AC}"/>
  </hyperlinks>
  <pageMargins left="0.7" right="0.7" top="0.75" bottom="0.75" header="0.3" footer="0.3"/>
  <tableParts count="1">
    <tablePart r:id="rId49"/>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A0D90-4452-4EFE-BBEF-1564E70A16CD}">
  <dimension ref="A1:D27"/>
  <sheetViews>
    <sheetView tabSelected="1" workbookViewId="0">
      <selection activeCell="B27" sqref="B27"/>
    </sheetView>
  </sheetViews>
  <sheetFormatPr defaultRowHeight="14.5" x14ac:dyDescent="0.35"/>
  <cols>
    <col min="1" max="1" width="19" style="2" bestFit="1" customWidth="1"/>
    <col min="2" max="2" width="32.1796875" style="2" bestFit="1" customWidth="1"/>
    <col min="3" max="3" width="8.7265625" style="2"/>
    <col min="4" max="4" width="213.54296875" style="2" customWidth="1"/>
    <col min="5" max="16384" width="8.7265625" style="2"/>
  </cols>
  <sheetData>
    <row r="1" spans="1:4" x14ac:dyDescent="0.35">
      <c r="A1" s="2" t="s">
        <v>56</v>
      </c>
      <c r="B1" s="2" t="s">
        <v>0</v>
      </c>
      <c r="C1" s="2" t="s">
        <v>52</v>
      </c>
      <c r="D1" s="2" t="s">
        <v>70</v>
      </c>
    </row>
    <row r="2" spans="1:4" x14ac:dyDescent="0.35">
      <c r="A2" s="2" t="s">
        <v>53</v>
      </c>
      <c r="B2" s="2" t="s">
        <v>59</v>
      </c>
      <c r="C2" s="2">
        <v>160</v>
      </c>
      <c r="D2" s="2" t="s">
        <v>71</v>
      </c>
    </row>
    <row r="3" spans="1:4" ht="43.5" x14ac:dyDescent="0.35">
      <c r="A3" s="2" t="s">
        <v>53</v>
      </c>
      <c r="B3" s="2" t="s">
        <v>60</v>
      </c>
      <c r="C3" s="2">
        <f>255+20+10</f>
        <v>285</v>
      </c>
      <c r="D3" s="2" t="s">
        <v>72</v>
      </c>
    </row>
    <row r="4" spans="1:4" ht="29" x14ac:dyDescent="0.35">
      <c r="A4" s="2" t="s">
        <v>53</v>
      </c>
      <c r="B4" s="2" t="s">
        <v>61</v>
      </c>
      <c r="C4" s="2">
        <v>75</v>
      </c>
      <c r="D4" s="2" t="s">
        <v>73</v>
      </c>
    </row>
    <row r="5" spans="1:4" ht="43.5" x14ac:dyDescent="0.35">
      <c r="A5" s="2" t="s">
        <v>53</v>
      </c>
      <c r="B5" s="2" t="s">
        <v>62</v>
      </c>
      <c r="C5" s="2">
        <v>100</v>
      </c>
      <c r="D5" s="2" t="s">
        <v>74</v>
      </c>
    </row>
    <row r="6" spans="1:4" ht="29" x14ac:dyDescent="0.35">
      <c r="A6" s="2" t="s">
        <v>53</v>
      </c>
      <c r="B6" s="2" t="s">
        <v>63</v>
      </c>
      <c r="C6" s="2">
        <v>80</v>
      </c>
      <c r="D6" s="2" t="s">
        <v>75</v>
      </c>
    </row>
    <row r="7" spans="1:4" x14ac:dyDescent="0.35">
      <c r="A7" s="2" t="s">
        <v>53</v>
      </c>
      <c r="B7" s="2" t="s">
        <v>64</v>
      </c>
      <c r="C7" s="2">
        <v>150</v>
      </c>
      <c r="D7" s="2" t="s">
        <v>76</v>
      </c>
    </row>
    <row r="8" spans="1:4" ht="29" x14ac:dyDescent="0.35">
      <c r="A8" s="2" t="s">
        <v>53</v>
      </c>
      <c r="B8" s="2" t="s">
        <v>65</v>
      </c>
      <c r="C8" s="2">
        <v>70</v>
      </c>
      <c r="D8" s="2" t="s">
        <v>77</v>
      </c>
    </row>
    <row r="9" spans="1:4" ht="43.5" x14ac:dyDescent="0.35">
      <c r="A9" s="2" t="s">
        <v>53</v>
      </c>
      <c r="B9" s="2" t="s">
        <v>66</v>
      </c>
      <c r="C9" s="2">
        <v>85</v>
      </c>
      <c r="D9" s="2" t="s">
        <v>78</v>
      </c>
    </row>
    <row r="10" spans="1:4" ht="29" x14ac:dyDescent="0.35">
      <c r="A10" s="2" t="s">
        <v>53</v>
      </c>
      <c r="B10" s="2" t="s">
        <v>67</v>
      </c>
      <c r="C10" s="2">
        <v>110</v>
      </c>
      <c r="D10" s="2" t="s">
        <v>79</v>
      </c>
    </row>
    <row r="11" spans="1:4" ht="43.5" x14ac:dyDescent="0.35">
      <c r="A11" s="2" t="s">
        <v>53</v>
      </c>
      <c r="B11" s="2" t="s">
        <v>68</v>
      </c>
      <c r="C11" s="2">
        <v>125</v>
      </c>
      <c r="D11" s="2" t="s">
        <v>80</v>
      </c>
    </row>
    <row r="12" spans="1:4" ht="43.5" x14ac:dyDescent="0.35">
      <c r="A12" s="2" t="s">
        <v>53</v>
      </c>
      <c r="B12" s="2" t="s">
        <v>68</v>
      </c>
      <c r="C12" s="2">
        <v>125</v>
      </c>
      <c r="D12" s="2" t="s">
        <v>80</v>
      </c>
    </row>
    <row r="13" spans="1:4" ht="58" x14ac:dyDescent="0.35">
      <c r="A13" s="2" t="s">
        <v>53</v>
      </c>
      <c r="B13" s="2" t="s">
        <v>69</v>
      </c>
      <c r="C13" s="2">
        <v>65</v>
      </c>
      <c r="D13" s="2" t="s">
        <v>81</v>
      </c>
    </row>
    <row r="14" spans="1:4" ht="58" x14ac:dyDescent="0.35">
      <c r="A14" s="2" t="s">
        <v>53</v>
      </c>
      <c r="B14" s="2" t="s">
        <v>69</v>
      </c>
      <c r="C14" s="2">
        <v>65</v>
      </c>
      <c r="D14" s="2" t="s">
        <v>81</v>
      </c>
    </row>
    <row r="15" spans="1:4" x14ac:dyDescent="0.35">
      <c r="A15" s="2" t="s">
        <v>82</v>
      </c>
      <c r="B15" s="2" t="s">
        <v>59</v>
      </c>
      <c r="C15" s="2">
        <v>160</v>
      </c>
      <c r="D15" s="2" t="s">
        <v>71</v>
      </c>
    </row>
    <row r="16" spans="1:4" ht="43.5" x14ac:dyDescent="0.35">
      <c r="A16" s="2" t="s">
        <v>82</v>
      </c>
      <c r="B16" s="2" t="s">
        <v>60</v>
      </c>
      <c r="C16" s="2">
        <f>255+20+10</f>
        <v>285</v>
      </c>
      <c r="D16" s="2" t="s">
        <v>72</v>
      </c>
    </row>
    <row r="17" spans="1:4" ht="29" x14ac:dyDescent="0.35">
      <c r="A17" s="2" t="s">
        <v>82</v>
      </c>
      <c r="B17" s="2" t="s">
        <v>61</v>
      </c>
      <c r="C17" s="2">
        <v>75</v>
      </c>
      <c r="D17" s="2" t="s">
        <v>73</v>
      </c>
    </row>
    <row r="18" spans="1:4" ht="43.5" x14ac:dyDescent="0.35">
      <c r="A18" s="2" t="s">
        <v>82</v>
      </c>
      <c r="B18" s="2" t="s">
        <v>62</v>
      </c>
      <c r="C18" s="2">
        <v>100</v>
      </c>
      <c r="D18" s="2" t="s">
        <v>74</v>
      </c>
    </row>
    <row r="19" spans="1:4" ht="29" x14ac:dyDescent="0.35">
      <c r="A19" s="2" t="s">
        <v>82</v>
      </c>
      <c r="B19" s="2" t="s">
        <v>63</v>
      </c>
      <c r="C19" s="2">
        <v>80</v>
      </c>
      <c r="D19" s="2" t="s">
        <v>75</v>
      </c>
    </row>
    <row r="20" spans="1:4" x14ac:dyDescent="0.35">
      <c r="A20" s="2" t="s">
        <v>82</v>
      </c>
      <c r="B20" s="2" t="s">
        <v>64</v>
      </c>
      <c r="C20" s="2">
        <v>150</v>
      </c>
      <c r="D20" s="2" t="s">
        <v>76</v>
      </c>
    </row>
    <row r="21" spans="1:4" ht="29" x14ac:dyDescent="0.35">
      <c r="A21" s="2" t="s">
        <v>82</v>
      </c>
      <c r="B21" s="2" t="s">
        <v>65</v>
      </c>
      <c r="C21" s="2">
        <v>70</v>
      </c>
      <c r="D21" s="2" t="s">
        <v>77</v>
      </c>
    </row>
    <row r="22" spans="1:4" ht="43.5" x14ac:dyDescent="0.35">
      <c r="A22" s="2" t="s">
        <v>82</v>
      </c>
      <c r="B22" s="2" t="s">
        <v>66</v>
      </c>
      <c r="C22" s="2">
        <v>85</v>
      </c>
      <c r="D22" s="2" t="s">
        <v>78</v>
      </c>
    </row>
    <row r="23" spans="1:4" ht="29" x14ac:dyDescent="0.35">
      <c r="A23" s="2" t="s">
        <v>82</v>
      </c>
      <c r="B23" s="2" t="s">
        <v>67</v>
      </c>
      <c r="C23" s="2">
        <v>110</v>
      </c>
      <c r="D23" s="2" t="s">
        <v>79</v>
      </c>
    </row>
    <row r="24" spans="1:4" ht="43.5" x14ac:dyDescent="0.35">
      <c r="A24" s="2" t="s">
        <v>82</v>
      </c>
      <c r="B24" s="2" t="s">
        <v>68</v>
      </c>
      <c r="C24" s="2">
        <v>125</v>
      </c>
      <c r="D24" s="2" t="s">
        <v>80</v>
      </c>
    </row>
    <row r="25" spans="1:4" ht="43.5" x14ac:dyDescent="0.35">
      <c r="A25" s="2" t="s">
        <v>82</v>
      </c>
      <c r="B25" s="2" t="s">
        <v>68</v>
      </c>
      <c r="C25" s="2">
        <v>125</v>
      </c>
      <c r="D25" s="2" t="s">
        <v>80</v>
      </c>
    </row>
    <row r="26" spans="1:4" ht="58" x14ac:dyDescent="0.35">
      <c r="A26" s="2" t="s">
        <v>82</v>
      </c>
      <c r="B26" s="2" t="s">
        <v>69</v>
      </c>
      <c r="C26" s="2">
        <v>65</v>
      </c>
      <c r="D26" s="2" t="s">
        <v>81</v>
      </c>
    </row>
    <row r="27" spans="1:4" ht="58" x14ac:dyDescent="0.35">
      <c r="A27" s="2" t="s">
        <v>82</v>
      </c>
      <c r="B27" s="2" t="s">
        <v>69</v>
      </c>
      <c r="C27" s="2">
        <v>65</v>
      </c>
      <c r="D27" s="2" t="s">
        <v>81</v>
      </c>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2656F32-6E89-462F-9D3C-1F6D54E61396}">
          <x14:formula1>
            <xm:f>Army!$A$2:$A$1048576</xm:f>
          </x14:formula1>
          <xm:sqref>A41:A1048576 A2:A27</xm:sqref>
        </x14:dataValidation>
        <x14:dataValidation type="list" allowBlank="1" showInputMessage="1" showErrorMessage="1" xr:uid="{DEC1F0F9-8B61-4053-A360-30C222080CDF}">
          <x14:formula1>
            <xm:f>Unit!$A$2:$A$1048576</xm:f>
          </x14:formula1>
          <xm:sqref>B41:B1048576 B2:B27</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Army</vt:lpstr>
      <vt:lpstr>Unit</vt:lpstr>
      <vt:lpstr>ArmyList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Graham Harrison</dc:creator>
  <cp:lastModifiedBy>Harrison, Graham</cp:lastModifiedBy>
  <dcterms:created xsi:type="dcterms:W3CDTF">2015-06-05T18:19:34Z</dcterms:created>
  <dcterms:modified xsi:type="dcterms:W3CDTF">2026-09-23T06:34:32Z</dcterms:modified>
</cp:coreProperties>
</file>